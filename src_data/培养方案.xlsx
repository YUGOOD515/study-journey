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364\Documents\office保存的文件\Excel\"/>
    </mc:Choice>
  </mc:AlternateContent>
  <xr:revisionPtr revIDLastSave="0" documentId="13_ncr:1_{6352F103-5FCD-4B2B-8954-1F20EFAA428C}" xr6:coauthVersionLast="47" xr6:coauthVersionMax="47" xr10:uidLastSave="{00000000-0000-0000-0000-000000000000}"/>
  <bookViews>
    <workbookView xWindow="-98" yWindow="-98" windowWidth="23236" windowHeight="13875" xr2:uid="{B4CB7B57-DFD8-457C-B28C-97464321EDCC}"/>
  </bookViews>
  <sheets>
    <sheet name="通识教育48" sheetId="2" r:id="rId1"/>
    <sheet name="大类46+专业38" sheetId="3" r:id="rId2"/>
    <sheet name="素质教育12" sheetId="4" r:id="rId3"/>
    <sheet name="实践教育16" sheetId="5" r:id="rId4"/>
  </sheets>
  <definedNames>
    <definedName name="_xlnm._FilterDatabase" localSheetId="1" hidden="1">'大类46+专业38'!$A$22:$L$54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F57" i="3"/>
  <c r="F11" i="3"/>
  <c r="E15" i="2"/>
  <c r="E7" i="4"/>
  <c r="E8" i="5"/>
  <c r="F30" i="3"/>
  <c r="F56" i="3"/>
  <c r="E34" i="2"/>
  <c r="F53" i="3"/>
  <c r="F54" i="3"/>
  <c r="E9" i="4"/>
  <c r="E10" i="4"/>
  <c r="E9" i="5"/>
  <c r="E22" i="2"/>
  <c r="E23" i="2"/>
  <c r="F20" i="3" l="1"/>
</calcChain>
</file>

<file path=xl/sharedStrings.xml><?xml version="1.0" encoding="utf-8"?>
<sst xmlns="http://schemas.openxmlformats.org/spreadsheetml/2006/main" count="317" uniqueCount="219">
  <si>
    <t>B0300633</t>
  </si>
  <si>
    <t>商业银行经营管理</t>
  </si>
  <si>
    <t>货币金融学</t>
  </si>
  <si>
    <t>B0300580</t>
  </si>
  <si>
    <t>金融中介学</t>
  </si>
  <si>
    <t>B0300500</t>
  </si>
  <si>
    <t>金融会计</t>
  </si>
  <si>
    <t>会计学</t>
  </si>
  <si>
    <t>B0301880</t>
  </si>
  <si>
    <t>线性代数</t>
  </si>
  <si>
    <t>B0300350</t>
  </si>
  <si>
    <t>国际金融(双语)</t>
  </si>
  <si>
    <t>B0300732</t>
  </si>
  <si>
    <t>投资银行学</t>
  </si>
  <si>
    <t>B0300510</t>
  </si>
  <si>
    <t>计量经济</t>
  </si>
  <si>
    <t>B0301870</t>
  </si>
  <si>
    <t>B0300840</t>
  </si>
  <si>
    <t>信用管理</t>
  </si>
  <si>
    <t>B0301620</t>
  </si>
  <si>
    <t>跨国金融管理</t>
  </si>
  <si>
    <t>B0390090</t>
  </si>
  <si>
    <t>证券投资分析(实验)</t>
  </si>
  <si>
    <t>证券投资学</t>
  </si>
  <si>
    <t>B0301850</t>
  </si>
  <si>
    <t>绿色金融导论</t>
  </si>
  <si>
    <t>B0390100</t>
  </si>
  <si>
    <t>商业银行综合业务处理(实验)</t>
  </si>
  <si>
    <t>B0301752</t>
  </si>
  <si>
    <t>数字金融</t>
  </si>
  <si>
    <t>B0301480</t>
  </si>
  <si>
    <t>财务报表分析与证券定价(双语)</t>
  </si>
  <si>
    <t>B0300560</t>
  </si>
  <si>
    <t>金融工程学</t>
  </si>
  <si>
    <t>B0300750</t>
  </si>
  <si>
    <t>B0300520</t>
  </si>
  <si>
    <t>B0390160</t>
  </si>
  <si>
    <t>B0390080</t>
  </si>
  <si>
    <t>金融市场交易实务(实验)</t>
  </si>
  <si>
    <t>B0300550</t>
  </si>
  <si>
    <t>金融学理论前沿</t>
  </si>
  <si>
    <t>B0301890</t>
  </si>
  <si>
    <t>行为金融</t>
  </si>
  <si>
    <t>课程号</t>
  </si>
  <si>
    <t>课程名称</t>
  </si>
  <si>
    <t>开课 学期</t>
  </si>
  <si>
    <t>学分</t>
  </si>
  <si>
    <t>课堂 学时</t>
  </si>
  <si>
    <t>实验 学时</t>
  </si>
  <si>
    <t>课外 学时</t>
  </si>
  <si>
    <t>先修条件</t>
  </si>
  <si>
    <t>B2490050</t>
  </si>
  <si>
    <t>思想道德与法治</t>
  </si>
  <si>
    <t>B2400055</t>
  </si>
  <si>
    <t>中国近现代史纲要</t>
  </si>
  <si>
    <t>B2400015</t>
  </si>
  <si>
    <t>马克思主义基本原理概论</t>
  </si>
  <si>
    <t>B2400080</t>
  </si>
  <si>
    <t>毛泽东思想和中国特色社会主义 理论体系概论</t>
  </si>
  <si>
    <t>B2400090</t>
  </si>
  <si>
    <t>习近平新时代中国特色社会主义 思想概论</t>
  </si>
  <si>
    <t>B2490014</t>
  </si>
  <si>
    <t>形势与政策(1—8)</t>
  </si>
  <si>
    <t>B1100023</t>
  </si>
  <si>
    <t>大学英语(1)</t>
  </si>
  <si>
    <t>B1100030</t>
  </si>
  <si>
    <t>大学英语(2)</t>
  </si>
  <si>
    <t>B1302460</t>
  </si>
  <si>
    <t>大数据分析导论</t>
  </si>
  <si>
    <t>B1302450</t>
  </si>
  <si>
    <t>人工智能与数据处理基础</t>
  </si>
  <si>
    <t>B2090020</t>
  </si>
  <si>
    <t>军事理论</t>
  </si>
  <si>
    <t>B0600270</t>
  </si>
  <si>
    <t>管理学通论</t>
  </si>
  <si>
    <t>B0400150</t>
  </si>
  <si>
    <t>法学通论</t>
  </si>
  <si>
    <t>读懂中国与“五史”教育</t>
  </si>
  <si>
    <t>≥2</t>
  </si>
  <si>
    <t>科学思维与人文精神</t>
  </si>
  <si>
    <t>创新创业与就业实践</t>
  </si>
  <si>
    <t>美学素养与艺术鉴赏</t>
  </si>
  <si>
    <t>劳动教育与劳动体验</t>
  </si>
  <si>
    <t>B0900470</t>
  </si>
  <si>
    <t>高等数学(1)</t>
  </si>
  <si>
    <t>B0900490</t>
  </si>
  <si>
    <t>高等数学(2)</t>
  </si>
  <si>
    <t>高等数学(上)</t>
  </si>
  <si>
    <t>B0200242</t>
  </si>
  <si>
    <t>政治经济学</t>
  </si>
  <si>
    <t>B0200193</t>
  </si>
  <si>
    <t>微观经济学</t>
  </si>
  <si>
    <t>B0200133</t>
  </si>
  <si>
    <t>宏观经济学</t>
  </si>
  <si>
    <t>B0900434</t>
  </si>
  <si>
    <t>概率论与数理统计(经管)</t>
  </si>
  <si>
    <t>B0901323</t>
  </si>
  <si>
    <t>概率论与数理统计</t>
  </si>
  <si>
    <t>B0301940</t>
  </si>
  <si>
    <t>计量经济学</t>
  </si>
  <si>
    <t>高等数学</t>
  </si>
  <si>
    <t>B0301812</t>
  </si>
  <si>
    <t>Python语言设计</t>
  </si>
  <si>
    <t>B0800243</t>
  </si>
  <si>
    <t>B0700013</t>
  </si>
  <si>
    <t>财政学</t>
  </si>
  <si>
    <t>B0901470</t>
  </si>
  <si>
    <t>B0301700</t>
  </si>
  <si>
    <t>实用数理金融模型</t>
  </si>
  <si>
    <t>B1301960</t>
  </si>
  <si>
    <t>机器学习基础与实践</t>
  </si>
  <si>
    <t>B0290050</t>
  </si>
  <si>
    <t>数字经济学</t>
  </si>
  <si>
    <t>B0300404</t>
  </si>
  <si>
    <t>B0300883</t>
  </si>
  <si>
    <t>B0301432</t>
  </si>
  <si>
    <t>公司金融(双语)</t>
  </si>
  <si>
    <t>B0301860</t>
  </si>
  <si>
    <t>B0301960</t>
  </si>
  <si>
    <t>B0300490</t>
  </si>
  <si>
    <t>B0300470</t>
  </si>
  <si>
    <t>B2200010</t>
  </si>
  <si>
    <t>大学生心理健康</t>
  </si>
  <si>
    <t>B1500010</t>
  </si>
  <si>
    <t>公共体育(1)</t>
  </si>
  <si>
    <t>B1500020</t>
  </si>
  <si>
    <t>公共体育(2)</t>
  </si>
  <si>
    <t>B1500030</t>
  </si>
  <si>
    <t>体育专项(1)</t>
  </si>
  <si>
    <t>B1500040</t>
  </si>
  <si>
    <t>体育专项(2)</t>
  </si>
  <si>
    <t>课外素质教育</t>
  </si>
  <si>
    <t>B2490090</t>
  </si>
  <si>
    <t>思想政治理论课实践</t>
  </si>
  <si>
    <t>B1890120</t>
  </si>
  <si>
    <t>社会实践</t>
  </si>
  <si>
    <t>B2090030</t>
  </si>
  <si>
    <t>军训</t>
  </si>
  <si>
    <t>B1890010</t>
  </si>
  <si>
    <t>学年论文</t>
  </si>
  <si>
    <t>B1890070</t>
  </si>
  <si>
    <t>毕业实习</t>
  </si>
  <si>
    <t>B1890030</t>
  </si>
  <si>
    <t>毕业论文</t>
  </si>
  <si>
    <t>A</t>
    <phoneticPr fontId="2" type="noConversion"/>
  </si>
  <si>
    <t>5-7</t>
    <phoneticPr fontId="2" type="noConversion"/>
  </si>
  <si>
    <t>1-8</t>
    <phoneticPr fontId="2" type="noConversion"/>
  </si>
  <si>
    <t>总计</t>
  </si>
  <si>
    <t>经法管融通</t>
    <phoneticPr fontId="2" type="noConversion"/>
  </si>
  <si>
    <t>培养环节</t>
    <phoneticPr fontId="2" type="noConversion"/>
  </si>
  <si>
    <t>课程性质</t>
    <phoneticPr fontId="2" type="noConversion"/>
  </si>
  <si>
    <t>必修 汇总</t>
  </si>
  <si>
    <t>选修 汇总</t>
  </si>
  <si>
    <t>完成情况</t>
    <phoneticPr fontId="2" type="noConversion"/>
  </si>
  <si>
    <t>毛泽东思想和中国 特色社会主义理论体系概论</t>
    <phoneticPr fontId="2" type="noConversion"/>
  </si>
  <si>
    <t>选修
16</t>
    <phoneticPr fontId="2" type="noConversion"/>
  </si>
  <si>
    <t>选修
20</t>
    <phoneticPr fontId="2" type="noConversion"/>
  </si>
  <si>
    <t>专业方向
38</t>
    <phoneticPr fontId="2" type="noConversion"/>
  </si>
  <si>
    <t>大类平台
46</t>
    <phoneticPr fontId="2" type="noConversion"/>
  </si>
  <si>
    <t>必修
32</t>
    <phoneticPr fontId="2" type="noConversion"/>
  </si>
  <si>
    <t>必修
30</t>
    <phoneticPr fontId="2" type="noConversion"/>
  </si>
  <si>
    <t>必修
18</t>
    <phoneticPr fontId="2" type="noConversion"/>
  </si>
  <si>
    <t>必修
6</t>
    <phoneticPr fontId="2" type="noConversion"/>
  </si>
  <si>
    <t>选修
6</t>
    <phoneticPr fontId="2" type="noConversion"/>
  </si>
  <si>
    <t>必修
16</t>
    <phoneticPr fontId="2" type="noConversion"/>
  </si>
  <si>
    <t>金融大数据分析</t>
    <phoneticPr fontId="2" type="noConversion"/>
  </si>
  <si>
    <t>金融工程学</t>
    <phoneticPr fontId="2" type="noConversion"/>
  </si>
  <si>
    <t>区块链技术与金融应用开发</t>
    <phoneticPr fontId="2" type="noConversion"/>
  </si>
  <si>
    <t>金融衍生工具</t>
    <phoneticPr fontId="2" type="noConversion"/>
  </si>
  <si>
    <t>投资组合管理</t>
    <phoneticPr fontId="2" type="noConversion"/>
  </si>
  <si>
    <t>金融监管学</t>
    <phoneticPr fontId="2" type="noConversion"/>
  </si>
  <si>
    <t>数值计算与金融仿真(双语、实验)</t>
    <phoneticPr fontId="2" type="noConversion"/>
  </si>
  <si>
    <t>金融风险管理</t>
    <phoneticPr fontId="2" type="noConversion"/>
  </si>
  <si>
    <t>应用随机过程</t>
    <phoneticPr fontId="2" type="noConversion"/>
  </si>
  <si>
    <t>金融科技导论</t>
    <phoneticPr fontId="2" type="noConversion"/>
  </si>
  <si>
    <t>机器学习与量化投资</t>
    <phoneticPr fontId="2" type="noConversion"/>
  </si>
  <si>
    <t>金融计量学(双语)</t>
    <phoneticPr fontId="2" type="noConversion"/>
  </si>
  <si>
    <t xml:space="preserve">选修类别 </t>
    <phoneticPr fontId="2" type="noConversion"/>
  </si>
  <si>
    <t>Python数据科学导论</t>
  </si>
  <si>
    <t>职场高情商工作技巧</t>
    <phoneticPr fontId="2" type="noConversion"/>
  </si>
  <si>
    <t>定向越野</t>
  </si>
  <si>
    <t>B1380110</t>
    <phoneticPr fontId="2" type="noConversion"/>
  </si>
  <si>
    <t>团建活动的设计与实施</t>
    <phoneticPr fontId="2" type="noConversion"/>
  </si>
  <si>
    <t>走进民航</t>
    <phoneticPr fontId="2" type="noConversion"/>
  </si>
  <si>
    <t>金融创新与金融法典型案例分析</t>
    <phoneticPr fontId="2" type="noConversion"/>
  </si>
  <si>
    <t>总计</t>
    <phoneticPr fontId="2" type="noConversion"/>
  </si>
  <si>
    <t>户外运动</t>
    <phoneticPr fontId="2" type="noConversion"/>
  </si>
  <si>
    <t>Python数据分析</t>
    <phoneticPr fontId="2" type="noConversion"/>
  </si>
  <si>
    <t>国家蓝图与青年未来：“十五五规划的时代解读”</t>
    <phoneticPr fontId="2" type="noConversion"/>
  </si>
  <si>
    <t>读懂中国与“五史”教育</t>
    <phoneticPr fontId="2" type="noConversion"/>
  </si>
  <si>
    <t>跨专业类别</t>
    <phoneticPr fontId="2" type="noConversion"/>
  </si>
  <si>
    <t>课程号</t>
    <phoneticPr fontId="2" type="noConversion"/>
  </si>
  <si>
    <t>机器学习与深度学习</t>
    <phoneticPr fontId="2" type="noConversion"/>
  </si>
  <si>
    <t>B0902750</t>
    <phoneticPr fontId="2" type="noConversion"/>
  </si>
  <si>
    <t>B1302680</t>
    <phoneticPr fontId="2" type="noConversion"/>
  </si>
  <si>
    <t>大类平台（经法管融通）</t>
    <phoneticPr fontId="2" type="noConversion"/>
  </si>
  <si>
    <t>意愿度</t>
    <phoneticPr fontId="2" type="noConversion"/>
  </si>
  <si>
    <t>开课学期</t>
    <phoneticPr fontId="2" type="noConversion"/>
  </si>
  <si>
    <t>专业选修预期</t>
    <phoneticPr fontId="2" type="noConversion"/>
  </si>
  <si>
    <t>完成学期</t>
    <phoneticPr fontId="2" type="noConversion"/>
  </si>
  <si>
    <t>分数</t>
    <phoneticPr fontId="2" type="noConversion"/>
  </si>
  <si>
    <t>分数</t>
    <phoneticPr fontId="2" type="noConversion"/>
  </si>
  <si>
    <t xml:space="preserve">B1580390	</t>
    <phoneticPr fontId="2" type="noConversion"/>
  </si>
  <si>
    <t>B1080250</t>
    <phoneticPr fontId="2" type="noConversion"/>
  </si>
  <si>
    <t xml:space="preserve">B0480240	</t>
    <phoneticPr fontId="2" type="noConversion"/>
  </si>
  <si>
    <t>M1885380</t>
    <phoneticPr fontId="2" type="noConversion"/>
  </si>
  <si>
    <t>83, 95, 90</t>
    <phoneticPr fontId="2" type="noConversion"/>
  </si>
  <si>
    <t>分数</t>
    <phoneticPr fontId="2" type="noConversion"/>
  </si>
  <si>
    <t>B1580270</t>
    <phoneticPr fontId="2" type="noConversion"/>
  </si>
  <si>
    <t>编译原理</t>
    <phoneticPr fontId="2" type="noConversion"/>
  </si>
  <si>
    <t>数据结构</t>
    <phoneticPr fontId="2" type="noConversion"/>
  </si>
  <si>
    <t>B0900163</t>
    <phoneticPr fontId="2" type="noConversion"/>
  </si>
  <si>
    <t>B0900974</t>
    <phoneticPr fontId="2" type="noConversion"/>
  </si>
  <si>
    <t>科学思维与人文精神</t>
    <phoneticPr fontId="2" type="noConversion"/>
  </si>
  <si>
    <t>创新创业与就业实践</t>
    <phoneticPr fontId="2" type="noConversion"/>
  </si>
  <si>
    <t>交叉融通与全面发展</t>
    <phoneticPr fontId="2" type="noConversion"/>
  </si>
  <si>
    <t>已修总计</t>
    <phoneticPr fontId="2" type="noConversion"/>
  </si>
  <si>
    <t>选修完成</t>
    <phoneticPr fontId="2" type="noConversion"/>
  </si>
  <si>
    <t>满意愿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</si>
</sst>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49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3" borderId="0" xfId="0" applyFill="1">
      <alignment vertical="center"/>
    </xf>
    <xf numFmtId="0" fontId="8" fillId="0" borderId="0" xfId="0" applyFont="1">
      <alignment vertical="center"/>
    </xf>
    <xf numFmtId="0" fontId="8" fillId="3" borderId="0" xfId="0" applyFont="1" applyFill="1">
      <alignment vertical="center"/>
    </xf>
    <xf numFmtId="49" fontId="0" fillId="3" borderId="0" xfId="0" applyNumberFormat="1" applyFill="1">
      <alignment vertical="center"/>
    </xf>
    <xf numFmtId="0" fontId="0" fillId="4" borderId="0" xfId="0" applyFill="1">
      <alignment vertical="center"/>
    </xf>
    <xf numFmtId="0" fontId="8" fillId="4" borderId="0" xfId="0" applyFont="1" applyFill="1">
      <alignment vertical="center"/>
    </xf>
    <xf numFmtId="49" fontId="0" fillId="4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CF6F-C34A-462E-AA2F-BB682F11C47A}">
  <dimension ref="A1:K42"/>
  <sheetViews>
    <sheetView tabSelected="1" zoomScaleNormal="100" workbookViewId="0">
      <selection activeCell="I14" sqref="I14"/>
    </sheetView>
  </sheetViews>
  <sheetFormatPr defaultRowHeight="13.9" outlineLevelRow="2" x14ac:dyDescent="0.4"/>
  <cols>
    <col min="1" max="1" width="13.1328125" customWidth="1"/>
    <col min="2" max="2" width="21.86328125" bestFit="1" customWidth="1"/>
    <col min="3" max="3" width="45.19921875" customWidth="1"/>
    <col min="4" max="4" width="10.1328125" style="1" bestFit="1" customWidth="1"/>
    <col min="5" max="5" width="5.53125" bestFit="1" customWidth="1"/>
    <col min="6" max="8" width="5" customWidth="1"/>
    <col min="9" max="9" width="17.1328125" customWidth="1"/>
  </cols>
  <sheetData>
    <row r="1" spans="1:11" s="5" customFormat="1" x14ac:dyDescent="0.4">
      <c r="A1" s="5" t="s">
        <v>150</v>
      </c>
      <c r="B1" s="5" t="s">
        <v>43</v>
      </c>
      <c r="C1" s="5" t="s">
        <v>44</v>
      </c>
      <c r="D1" s="6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199</v>
      </c>
      <c r="K1" s="5" t="s">
        <v>200</v>
      </c>
    </row>
    <row r="2" spans="1:11" outlineLevel="2" x14ac:dyDescent="0.4">
      <c r="A2" s="14" t="s">
        <v>159</v>
      </c>
      <c r="B2" t="s">
        <v>51</v>
      </c>
      <c r="C2" s="8" t="s">
        <v>52</v>
      </c>
      <c r="D2" s="1">
        <v>1</v>
      </c>
      <c r="E2">
        <v>2.5</v>
      </c>
      <c r="F2">
        <v>40</v>
      </c>
      <c r="J2">
        <v>1</v>
      </c>
      <c r="K2">
        <v>93</v>
      </c>
    </row>
    <row r="3" spans="1:11" outlineLevel="2" x14ac:dyDescent="0.4">
      <c r="A3" s="15"/>
      <c r="B3" t="s">
        <v>53</v>
      </c>
      <c r="C3" s="8" t="s">
        <v>54</v>
      </c>
      <c r="D3" s="1">
        <v>1</v>
      </c>
      <c r="E3">
        <v>2.5</v>
      </c>
      <c r="F3">
        <v>40</v>
      </c>
      <c r="J3">
        <v>1</v>
      </c>
      <c r="K3">
        <v>92</v>
      </c>
    </row>
    <row r="4" spans="1:11" outlineLevel="2" x14ac:dyDescent="0.4">
      <c r="A4" s="15"/>
      <c r="B4" t="s">
        <v>55</v>
      </c>
      <c r="C4" s="8" t="s">
        <v>56</v>
      </c>
      <c r="D4" s="1">
        <v>2</v>
      </c>
      <c r="E4">
        <v>2.5</v>
      </c>
      <c r="F4">
        <v>40</v>
      </c>
      <c r="J4">
        <v>2</v>
      </c>
      <c r="K4">
        <v>74</v>
      </c>
    </row>
    <row r="5" spans="1:11" outlineLevel="2" x14ac:dyDescent="0.4">
      <c r="A5" s="15"/>
      <c r="B5" t="s">
        <v>57</v>
      </c>
      <c r="C5" s="8" t="s">
        <v>58</v>
      </c>
      <c r="D5" s="1">
        <v>2</v>
      </c>
      <c r="E5">
        <v>2.5</v>
      </c>
      <c r="F5">
        <v>40</v>
      </c>
      <c r="J5">
        <v>2</v>
      </c>
      <c r="K5">
        <v>91</v>
      </c>
    </row>
    <row r="6" spans="1:11" outlineLevel="2" x14ac:dyDescent="0.4">
      <c r="A6" s="15"/>
      <c r="B6" t="s">
        <v>59</v>
      </c>
      <c r="C6" s="8" t="s">
        <v>60</v>
      </c>
      <c r="D6" s="1">
        <v>3</v>
      </c>
      <c r="E6">
        <v>3</v>
      </c>
      <c r="F6">
        <v>48</v>
      </c>
      <c r="I6" t="s">
        <v>154</v>
      </c>
      <c r="J6">
        <v>3</v>
      </c>
      <c r="K6">
        <v>93</v>
      </c>
    </row>
    <row r="7" spans="1:11" outlineLevel="2" x14ac:dyDescent="0.4">
      <c r="A7" s="15"/>
      <c r="B7" t="s">
        <v>61</v>
      </c>
      <c r="C7" s="11" t="s">
        <v>62</v>
      </c>
      <c r="D7" s="1" t="s">
        <v>146</v>
      </c>
      <c r="E7">
        <v>2</v>
      </c>
      <c r="F7">
        <v>64</v>
      </c>
      <c r="K7" t="s">
        <v>206</v>
      </c>
    </row>
    <row r="8" spans="1:11" outlineLevel="2" x14ac:dyDescent="0.4">
      <c r="A8" s="15"/>
      <c r="B8" t="s">
        <v>63</v>
      </c>
      <c r="C8" s="8" t="s">
        <v>64</v>
      </c>
      <c r="D8" s="1">
        <v>1</v>
      </c>
      <c r="E8">
        <v>3</v>
      </c>
      <c r="F8">
        <v>48</v>
      </c>
      <c r="J8">
        <v>1</v>
      </c>
      <c r="K8">
        <v>80</v>
      </c>
    </row>
    <row r="9" spans="1:11" outlineLevel="2" x14ac:dyDescent="0.4">
      <c r="A9" s="15"/>
      <c r="B9" t="s">
        <v>65</v>
      </c>
      <c r="C9" s="8" t="s">
        <v>66</v>
      </c>
      <c r="D9" s="1">
        <v>2</v>
      </c>
      <c r="E9">
        <v>4</v>
      </c>
      <c r="F9">
        <v>64</v>
      </c>
      <c r="I9" t="s">
        <v>64</v>
      </c>
      <c r="J9">
        <v>2</v>
      </c>
      <c r="K9">
        <v>89</v>
      </c>
    </row>
    <row r="10" spans="1:11" outlineLevel="2" x14ac:dyDescent="0.4">
      <c r="A10" s="15"/>
      <c r="B10" t="s">
        <v>67</v>
      </c>
      <c r="C10" s="8" t="s">
        <v>68</v>
      </c>
      <c r="D10" s="1">
        <v>1</v>
      </c>
      <c r="E10">
        <v>2</v>
      </c>
      <c r="F10">
        <v>32</v>
      </c>
      <c r="G10">
        <v>16</v>
      </c>
      <c r="J10">
        <v>1</v>
      </c>
      <c r="K10">
        <v>91</v>
      </c>
    </row>
    <row r="11" spans="1:11" outlineLevel="2" x14ac:dyDescent="0.4">
      <c r="A11" s="15"/>
      <c r="B11" t="s">
        <v>69</v>
      </c>
      <c r="C11" s="8" t="s">
        <v>70</v>
      </c>
      <c r="D11" s="1">
        <v>2</v>
      </c>
      <c r="E11">
        <v>2</v>
      </c>
      <c r="F11">
        <v>32</v>
      </c>
      <c r="G11">
        <v>16</v>
      </c>
      <c r="I11" t="s">
        <v>68</v>
      </c>
      <c r="J11">
        <v>2</v>
      </c>
      <c r="K11">
        <v>93</v>
      </c>
    </row>
    <row r="12" spans="1:11" outlineLevel="2" x14ac:dyDescent="0.4">
      <c r="A12" s="15"/>
      <c r="B12" t="s">
        <v>71</v>
      </c>
      <c r="C12" s="8" t="s">
        <v>72</v>
      </c>
      <c r="D12" s="1">
        <v>1</v>
      </c>
      <c r="E12">
        <v>2</v>
      </c>
      <c r="F12">
        <v>16</v>
      </c>
      <c r="G12">
        <v>16</v>
      </c>
      <c r="J12">
        <v>1</v>
      </c>
      <c r="K12">
        <v>96</v>
      </c>
    </row>
    <row r="13" spans="1:11" outlineLevel="2" x14ac:dyDescent="0.4">
      <c r="A13" s="15"/>
      <c r="B13" t="s">
        <v>73</v>
      </c>
      <c r="C13" s="8" t="s">
        <v>74</v>
      </c>
      <c r="D13" s="1">
        <v>3</v>
      </c>
      <c r="E13">
        <v>2</v>
      </c>
      <c r="F13">
        <v>32</v>
      </c>
      <c r="J13">
        <v>3</v>
      </c>
      <c r="K13">
        <v>96</v>
      </c>
    </row>
    <row r="14" spans="1:11" outlineLevel="2" x14ac:dyDescent="0.4">
      <c r="A14" s="15"/>
      <c r="B14" t="s">
        <v>75</v>
      </c>
      <c r="C14" s="11" t="s">
        <v>76</v>
      </c>
      <c r="D14" s="1">
        <v>4</v>
      </c>
      <c r="E14">
        <v>2</v>
      </c>
      <c r="F14">
        <v>32</v>
      </c>
    </row>
    <row r="15" spans="1:11" outlineLevel="1" x14ac:dyDescent="0.4">
      <c r="A15" s="3" t="s">
        <v>151</v>
      </c>
      <c r="E15">
        <f>SUBTOTAL(9,E2:E14)</f>
        <v>32</v>
      </c>
    </row>
    <row r="16" spans="1:11" outlineLevel="2" x14ac:dyDescent="0.4">
      <c r="A16" s="14" t="s">
        <v>155</v>
      </c>
      <c r="B16" t="s">
        <v>77</v>
      </c>
      <c r="E16" t="s">
        <v>78</v>
      </c>
    </row>
    <row r="17" spans="1:11" outlineLevel="2" x14ac:dyDescent="0.4">
      <c r="A17" s="14"/>
      <c r="B17" t="s">
        <v>79</v>
      </c>
      <c r="E17" t="s">
        <v>78</v>
      </c>
    </row>
    <row r="18" spans="1:11" outlineLevel="2" x14ac:dyDescent="0.4">
      <c r="A18" s="14"/>
      <c r="B18" t="s">
        <v>80</v>
      </c>
      <c r="E18" t="s">
        <v>78</v>
      </c>
    </row>
    <row r="19" spans="1:11" outlineLevel="2" x14ac:dyDescent="0.4">
      <c r="A19" s="14"/>
      <c r="B19" t="s">
        <v>81</v>
      </c>
      <c r="E19" t="s">
        <v>78</v>
      </c>
    </row>
    <row r="20" spans="1:11" outlineLevel="2" x14ac:dyDescent="0.4">
      <c r="A20" s="14"/>
      <c r="B20" t="s">
        <v>82</v>
      </c>
      <c r="E20" t="s">
        <v>78</v>
      </c>
    </row>
    <row r="21" spans="1:11" outlineLevel="2" x14ac:dyDescent="0.4">
      <c r="A21" s="14"/>
      <c r="B21" t="s">
        <v>215</v>
      </c>
      <c r="E21" t="s">
        <v>78</v>
      </c>
    </row>
    <row r="22" spans="1:11" outlineLevel="1" x14ac:dyDescent="0.4">
      <c r="A22" s="3" t="s">
        <v>152</v>
      </c>
      <c r="E22">
        <f>SUBTOTAL(9,E16:E21)</f>
        <v>0</v>
      </c>
    </row>
    <row r="23" spans="1:11" x14ac:dyDescent="0.4">
      <c r="A23" s="3" t="s">
        <v>147</v>
      </c>
      <c r="E23">
        <f>SUBTOTAL(9,E2:E21)</f>
        <v>32</v>
      </c>
    </row>
    <row r="24" spans="1:11" x14ac:dyDescent="0.4">
      <c r="A24" s="3"/>
    </row>
    <row r="25" spans="1:11" outlineLevel="1" x14ac:dyDescent="0.4">
      <c r="A25" s="3" t="s">
        <v>177</v>
      </c>
      <c r="B25" s="5" t="s">
        <v>43</v>
      </c>
      <c r="C25" s="5" t="s">
        <v>44</v>
      </c>
      <c r="D25" s="10" t="s">
        <v>197</v>
      </c>
      <c r="E25" s="5" t="s">
        <v>46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153</v>
      </c>
    </row>
    <row r="26" spans="1:11" outlineLevel="1" x14ac:dyDescent="0.4">
      <c r="A26" s="16" t="s">
        <v>213</v>
      </c>
      <c r="B26" t="s">
        <v>181</v>
      </c>
      <c r="C26" s="9" t="s">
        <v>178</v>
      </c>
      <c r="E26">
        <v>2</v>
      </c>
      <c r="J26">
        <v>2</v>
      </c>
      <c r="K26">
        <v>99</v>
      </c>
    </row>
    <row r="27" spans="1:11" outlineLevel="1" x14ac:dyDescent="0.4">
      <c r="A27" s="16" t="s">
        <v>214</v>
      </c>
      <c r="B27" t="s">
        <v>203</v>
      </c>
      <c r="C27" s="9" t="s">
        <v>179</v>
      </c>
      <c r="E27">
        <v>1</v>
      </c>
      <c r="J27">
        <v>2</v>
      </c>
      <c r="K27">
        <v>95</v>
      </c>
    </row>
    <row r="28" spans="1:11" outlineLevel="1" x14ac:dyDescent="0.4">
      <c r="A28" s="16" t="s">
        <v>213</v>
      </c>
      <c r="B28" t="s">
        <v>202</v>
      </c>
      <c r="C28" s="9" t="s">
        <v>182</v>
      </c>
      <c r="E28">
        <v>0.5</v>
      </c>
      <c r="J28">
        <v>2</v>
      </c>
      <c r="K28">
        <v>92</v>
      </c>
    </row>
    <row r="29" spans="1:11" outlineLevel="1" x14ac:dyDescent="0.4">
      <c r="A29" s="16" t="s">
        <v>215</v>
      </c>
      <c r="B29" t="s">
        <v>208</v>
      </c>
      <c r="C29" s="9" t="s">
        <v>180</v>
      </c>
      <c r="E29">
        <v>1</v>
      </c>
      <c r="J29">
        <v>3</v>
      </c>
      <c r="K29">
        <v>98.2</v>
      </c>
    </row>
    <row r="30" spans="1:11" outlineLevel="1" x14ac:dyDescent="0.4">
      <c r="A30" s="16"/>
      <c r="B30" t="s">
        <v>205</v>
      </c>
      <c r="C30" s="9" t="s">
        <v>183</v>
      </c>
      <c r="E30">
        <v>2</v>
      </c>
      <c r="J30">
        <v>3</v>
      </c>
      <c r="K30">
        <v>99</v>
      </c>
    </row>
    <row r="31" spans="1:11" outlineLevel="1" x14ac:dyDescent="0.4">
      <c r="A31" s="16" t="s">
        <v>195</v>
      </c>
      <c r="B31" t="s">
        <v>204</v>
      </c>
      <c r="C31" s="9" t="s">
        <v>184</v>
      </c>
      <c r="E31">
        <v>2</v>
      </c>
      <c r="J31">
        <v>3</v>
      </c>
      <c r="K31">
        <v>93</v>
      </c>
    </row>
    <row r="32" spans="1:11" outlineLevel="1" x14ac:dyDescent="0.4">
      <c r="A32" s="16" t="s">
        <v>215</v>
      </c>
      <c r="C32" s="12" t="s">
        <v>186</v>
      </c>
      <c r="E32">
        <v>1</v>
      </c>
      <c r="J32">
        <v>4</v>
      </c>
    </row>
    <row r="33" spans="1:10" outlineLevel="1" x14ac:dyDescent="0.4">
      <c r="A33" s="16" t="s">
        <v>189</v>
      </c>
      <c r="C33" s="12" t="s">
        <v>188</v>
      </c>
      <c r="E33">
        <v>2</v>
      </c>
      <c r="J33">
        <v>4</v>
      </c>
    </row>
    <row r="34" spans="1:10" x14ac:dyDescent="0.4">
      <c r="A34" s="7" t="s">
        <v>185</v>
      </c>
      <c r="E34">
        <f>SUBTOTAL(9,E26:E33)</f>
        <v>11.5</v>
      </c>
    </row>
    <row r="38" spans="1:10" x14ac:dyDescent="0.4">
      <c r="A38" s="7" t="s">
        <v>190</v>
      </c>
      <c r="B38" s="7" t="s">
        <v>191</v>
      </c>
      <c r="C38" s="5" t="s">
        <v>44</v>
      </c>
    </row>
    <row r="39" spans="1:10" x14ac:dyDescent="0.4">
      <c r="B39" t="s">
        <v>193</v>
      </c>
      <c r="C39" s="12" t="s">
        <v>187</v>
      </c>
      <c r="E39">
        <v>3</v>
      </c>
      <c r="J39">
        <v>4</v>
      </c>
    </row>
    <row r="40" spans="1:10" x14ac:dyDescent="0.4">
      <c r="B40" t="s">
        <v>194</v>
      </c>
      <c r="C40" s="12" t="s">
        <v>192</v>
      </c>
      <c r="E40">
        <v>2</v>
      </c>
      <c r="J40">
        <v>4</v>
      </c>
    </row>
    <row r="41" spans="1:10" x14ac:dyDescent="0.4">
      <c r="B41" t="s">
        <v>211</v>
      </c>
      <c r="C41" s="12" t="s">
        <v>209</v>
      </c>
      <c r="E41">
        <v>3</v>
      </c>
      <c r="J41">
        <v>4</v>
      </c>
    </row>
    <row r="42" spans="1:10" x14ac:dyDescent="0.4">
      <c r="B42" t="s">
        <v>212</v>
      </c>
      <c r="C42" s="12" t="s">
        <v>210</v>
      </c>
      <c r="E42">
        <v>4</v>
      </c>
      <c r="J42">
        <v>4</v>
      </c>
    </row>
  </sheetData>
  <mergeCells count="2">
    <mergeCell ref="A2:A14"/>
    <mergeCell ref="A16:A2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3320-822C-47A9-8C83-1D6D1646BA21}">
  <dimension ref="A1:M57"/>
  <sheetViews>
    <sheetView topLeftCell="A24" zoomScaleNormal="100" workbookViewId="0">
      <selection activeCell="F57" sqref="F57"/>
    </sheetView>
  </sheetViews>
  <sheetFormatPr defaultRowHeight="13.9" outlineLevelRow="2" x14ac:dyDescent="0.4"/>
  <cols>
    <col min="1" max="1" width="9.53125" bestFit="1" customWidth="1"/>
    <col min="2" max="2" width="10.1328125" bestFit="1" customWidth="1"/>
    <col min="3" max="3" width="9.6640625" bestFit="1" customWidth="1"/>
    <col min="4" max="4" width="32.6640625" customWidth="1"/>
    <col min="5" max="5" width="10.1328125" bestFit="1" customWidth="1"/>
    <col min="6" max="6" width="5.53125" bestFit="1" customWidth="1"/>
    <col min="7" max="9" width="10.1328125" bestFit="1" customWidth="1"/>
    <col min="10" max="10" width="18.33203125" bestFit="1" customWidth="1"/>
  </cols>
  <sheetData>
    <row r="1" spans="1:12" x14ac:dyDescent="0.4">
      <c r="A1" s="5" t="s">
        <v>149</v>
      </c>
      <c r="B1" s="5" t="s">
        <v>150</v>
      </c>
      <c r="C1" s="5" t="s">
        <v>43</v>
      </c>
      <c r="D1" s="5" t="s">
        <v>44</v>
      </c>
      <c r="E1" s="6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199</v>
      </c>
      <c r="L1" s="5" t="s">
        <v>201</v>
      </c>
    </row>
    <row r="2" spans="1:12" outlineLevel="2" x14ac:dyDescent="0.4">
      <c r="A2" s="14" t="s">
        <v>158</v>
      </c>
      <c r="B2" s="14" t="s">
        <v>160</v>
      </c>
      <c r="C2" t="s">
        <v>83</v>
      </c>
      <c r="D2" s="8" t="s">
        <v>84</v>
      </c>
      <c r="E2" s="1">
        <v>1</v>
      </c>
      <c r="F2">
        <v>5</v>
      </c>
      <c r="G2">
        <v>80</v>
      </c>
      <c r="K2">
        <v>1</v>
      </c>
      <c r="L2">
        <v>70</v>
      </c>
    </row>
    <row r="3" spans="1:12" outlineLevel="2" x14ac:dyDescent="0.4">
      <c r="A3" s="15"/>
      <c r="B3" s="15"/>
      <c r="C3" t="s">
        <v>85</v>
      </c>
      <c r="D3" s="8" t="s">
        <v>86</v>
      </c>
      <c r="E3" s="1">
        <v>2</v>
      </c>
      <c r="F3">
        <v>5</v>
      </c>
      <c r="G3">
        <v>80</v>
      </c>
      <c r="J3" t="s">
        <v>87</v>
      </c>
      <c r="K3">
        <v>2</v>
      </c>
      <c r="L3">
        <v>71</v>
      </c>
    </row>
    <row r="4" spans="1:12" outlineLevel="2" x14ac:dyDescent="0.4">
      <c r="A4" s="15"/>
      <c r="B4" s="15"/>
      <c r="C4" t="s">
        <v>88</v>
      </c>
      <c r="D4" s="8" t="s">
        <v>89</v>
      </c>
      <c r="E4" s="1">
        <v>1</v>
      </c>
      <c r="F4">
        <v>2</v>
      </c>
      <c r="G4">
        <v>32</v>
      </c>
      <c r="K4">
        <v>1</v>
      </c>
      <c r="L4">
        <v>72</v>
      </c>
    </row>
    <row r="5" spans="1:12" outlineLevel="2" x14ac:dyDescent="0.4">
      <c r="A5" s="15"/>
      <c r="B5" s="15"/>
      <c r="C5" t="s">
        <v>90</v>
      </c>
      <c r="D5" s="8" t="s">
        <v>91</v>
      </c>
      <c r="E5" s="1">
        <v>1</v>
      </c>
      <c r="F5">
        <v>3</v>
      </c>
      <c r="G5">
        <v>48</v>
      </c>
      <c r="K5">
        <v>1</v>
      </c>
      <c r="L5">
        <v>84</v>
      </c>
    </row>
    <row r="6" spans="1:12" outlineLevel="2" x14ac:dyDescent="0.4">
      <c r="A6" s="15"/>
      <c r="B6" s="15"/>
      <c r="C6" t="s">
        <v>92</v>
      </c>
      <c r="D6" s="8" t="s">
        <v>93</v>
      </c>
      <c r="E6" s="1">
        <v>2</v>
      </c>
      <c r="F6">
        <v>3</v>
      </c>
      <c r="G6">
        <v>48</v>
      </c>
      <c r="J6" t="s">
        <v>91</v>
      </c>
      <c r="K6">
        <v>2</v>
      </c>
    </row>
    <row r="7" spans="1:12" outlineLevel="2" x14ac:dyDescent="0.4">
      <c r="A7" s="15"/>
      <c r="B7" s="15"/>
      <c r="C7" t="s">
        <v>94</v>
      </c>
      <c r="D7" s="8" t="s">
        <v>95</v>
      </c>
      <c r="E7" s="1">
        <v>3</v>
      </c>
      <c r="F7">
        <v>4</v>
      </c>
      <c r="G7">
        <v>64</v>
      </c>
      <c r="J7" t="s">
        <v>86</v>
      </c>
      <c r="K7">
        <v>3</v>
      </c>
      <c r="L7">
        <v>72</v>
      </c>
    </row>
    <row r="8" spans="1:12" outlineLevel="2" x14ac:dyDescent="0.4">
      <c r="A8" s="15"/>
      <c r="B8" s="15"/>
      <c r="C8" t="s">
        <v>96</v>
      </c>
      <c r="D8" s="11" t="s">
        <v>9</v>
      </c>
      <c r="E8" s="1">
        <v>4</v>
      </c>
      <c r="F8">
        <v>3</v>
      </c>
      <c r="G8">
        <v>48</v>
      </c>
      <c r="J8" t="s">
        <v>97</v>
      </c>
    </row>
    <row r="9" spans="1:12" outlineLevel="2" x14ac:dyDescent="0.4">
      <c r="A9" s="15"/>
      <c r="B9" s="15"/>
      <c r="C9" t="s">
        <v>98</v>
      </c>
      <c r="D9" s="11" t="s">
        <v>99</v>
      </c>
      <c r="E9" s="1">
        <v>4</v>
      </c>
      <c r="F9">
        <v>3</v>
      </c>
      <c r="G9">
        <v>48</v>
      </c>
      <c r="J9" t="s">
        <v>100</v>
      </c>
    </row>
    <row r="10" spans="1:12" outlineLevel="2" x14ac:dyDescent="0.4">
      <c r="A10" s="15"/>
      <c r="B10" s="15"/>
      <c r="C10" t="s">
        <v>101</v>
      </c>
      <c r="D10" s="8" t="s">
        <v>102</v>
      </c>
      <c r="E10" s="1">
        <v>3</v>
      </c>
      <c r="F10">
        <v>2</v>
      </c>
      <c r="G10">
        <v>6</v>
      </c>
      <c r="H10">
        <v>26</v>
      </c>
      <c r="I10">
        <v>32</v>
      </c>
      <c r="J10" t="s">
        <v>68</v>
      </c>
      <c r="K10">
        <v>3</v>
      </c>
      <c r="L10">
        <v>92</v>
      </c>
    </row>
    <row r="11" spans="1:12" outlineLevel="1" x14ac:dyDescent="0.4">
      <c r="A11" s="15"/>
      <c r="B11" s="3" t="s">
        <v>151</v>
      </c>
      <c r="E11" s="1"/>
      <c r="F11">
        <f>SUBTOTAL(9,F2:F10)</f>
        <v>30</v>
      </c>
    </row>
    <row r="12" spans="1:12" outlineLevel="2" x14ac:dyDescent="0.4">
      <c r="A12" s="15"/>
      <c r="B12" s="14" t="s">
        <v>155</v>
      </c>
      <c r="C12" t="s">
        <v>103</v>
      </c>
      <c r="D12" s="8" t="s">
        <v>7</v>
      </c>
      <c r="E12" s="1">
        <v>2</v>
      </c>
      <c r="F12">
        <v>3</v>
      </c>
      <c r="G12">
        <v>48</v>
      </c>
      <c r="K12">
        <v>2</v>
      </c>
      <c r="L12">
        <v>82</v>
      </c>
    </row>
    <row r="13" spans="1:12" outlineLevel="2" x14ac:dyDescent="0.4">
      <c r="A13" s="15"/>
      <c r="B13" s="15"/>
      <c r="C13" t="s">
        <v>104</v>
      </c>
      <c r="D13" s="8" t="s">
        <v>105</v>
      </c>
      <c r="E13" s="1">
        <v>3</v>
      </c>
      <c r="F13">
        <v>3</v>
      </c>
      <c r="G13">
        <v>48</v>
      </c>
      <c r="K13">
        <v>3</v>
      </c>
      <c r="L13">
        <v>67</v>
      </c>
    </row>
    <row r="14" spans="1:12" outlineLevel="2" x14ac:dyDescent="0.4">
      <c r="A14" s="15"/>
      <c r="B14" s="15"/>
      <c r="C14" t="s">
        <v>106</v>
      </c>
      <c r="D14" t="s">
        <v>173</v>
      </c>
      <c r="E14" s="1">
        <v>4</v>
      </c>
      <c r="F14">
        <v>2</v>
      </c>
      <c r="G14">
        <v>32</v>
      </c>
    </row>
    <row r="15" spans="1:12" outlineLevel="2" x14ac:dyDescent="0.4">
      <c r="A15" s="15"/>
      <c r="B15" s="15"/>
      <c r="C15" t="s">
        <v>107</v>
      </c>
      <c r="D15" t="s">
        <v>108</v>
      </c>
      <c r="E15" s="1">
        <v>5</v>
      </c>
      <c r="F15">
        <v>4</v>
      </c>
      <c r="G15">
        <v>64</v>
      </c>
    </row>
    <row r="16" spans="1:12" s="17" customFormat="1" outlineLevel="2" x14ac:dyDescent="0.4">
      <c r="A16" s="15"/>
      <c r="B16" s="15"/>
      <c r="C16" s="17" t="s">
        <v>109</v>
      </c>
      <c r="D16" s="17" t="s">
        <v>110</v>
      </c>
      <c r="E16" s="20">
        <v>5</v>
      </c>
      <c r="F16" s="17">
        <v>2</v>
      </c>
      <c r="G16" s="17">
        <v>8</v>
      </c>
      <c r="H16" s="17">
        <v>24</v>
      </c>
    </row>
    <row r="17" spans="1:13" outlineLevel="2" x14ac:dyDescent="0.4">
      <c r="A17" s="15"/>
      <c r="B17" s="15"/>
      <c r="C17" t="s">
        <v>111</v>
      </c>
      <c r="D17" s="8" t="s">
        <v>112</v>
      </c>
      <c r="E17" s="1">
        <v>3</v>
      </c>
      <c r="F17">
        <v>3</v>
      </c>
      <c r="G17">
        <v>32</v>
      </c>
      <c r="K17">
        <v>3</v>
      </c>
      <c r="L17">
        <v>77</v>
      </c>
    </row>
    <row r="18" spans="1:13" outlineLevel="2" x14ac:dyDescent="0.4">
      <c r="A18" s="15"/>
      <c r="B18" s="15"/>
      <c r="D18" t="s">
        <v>148</v>
      </c>
      <c r="E18" s="1"/>
      <c r="F18">
        <v>6</v>
      </c>
    </row>
    <row r="19" spans="1:13" ht="15.4" outlineLevel="1" x14ac:dyDescent="0.4">
      <c r="A19" s="2"/>
      <c r="B19" s="3" t="s">
        <v>217</v>
      </c>
      <c r="E19" s="1"/>
      <c r="F19">
        <f>SUBTOTAL(9,F12:F13,F17,F18)</f>
        <v>15</v>
      </c>
    </row>
    <row r="20" spans="1:13" x14ac:dyDescent="0.4">
      <c r="A20" s="2"/>
      <c r="B20" s="3" t="s">
        <v>216</v>
      </c>
      <c r="E20" s="1"/>
      <c r="F20">
        <f>SUM(F11,F19)</f>
        <v>45</v>
      </c>
    </row>
    <row r="21" spans="1:13" x14ac:dyDescent="0.4">
      <c r="A21" s="2"/>
      <c r="B21" s="3"/>
      <c r="E21" s="1"/>
    </row>
    <row r="22" spans="1:13" x14ac:dyDescent="0.4">
      <c r="A22" s="5" t="s">
        <v>149</v>
      </c>
      <c r="B22" s="5" t="s">
        <v>150</v>
      </c>
      <c r="C22" s="5" t="s">
        <v>43</v>
      </c>
      <c r="D22" s="5" t="s">
        <v>44</v>
      </c>
      <c r="E22" s="6" t="s">
        <v>45</v>
      </c>
      <c r="F22" s="5" t="s">
        <v>46</v>
      </c>
      <c r="G22" s="5" t="s">
        <v>47</v>
      </c>
      <c r="H22" s="5" t="s">
        <v>48</v>
      </c>
      <c r="I22" s="5" t="s">
        <v>49</v>
      </c>
      <c r="J22" s="5" t="s">
        <v>50</v>
      </c>
      <c r="K22" s="5" t="s">
        <v>153</v>
      </c>
      <c r="L22" s="5" t="s">
        <v>207</v>
      </c>
      <c r="M22" s="5" t="s">
        <v>196</v>
      </c>
    </row>
    <row r="23" spans="1:13" outlineLevel="2" x14ac:dyDescent="0.4">
      <c r="A23" s="14" t="s">
        <v>157</v>
      </c>
      <c r="B23" s="14" t="s">
        <v>161</v>
      </c>
      <c r="C23" t="s">
        <v>113</v>
      </c>
      <c r="D23" s="8" t="s">
        <v>2</v>
      </c>
      <c r="E23" s="1">
        <v>3</v>
      </c>
      <c r="F23">
        <v>4</v>
      </c>
      <c r="G23">
        <v>64</v>
      </c>
      <c r="J23" t="s">
        <v>93</v>
      </c>
      <c r="K23">
        <v>3</v>
      </c>
      <c r="L23">
        <v>76</v>
      </c>
    </row>
    <row r="24" spans="1:13" outlineLevel="2" x14ac:dyDescent="0.4">
      <c r="A24" s="15"/>
      <c r="B24" s="15"/>
      <c r="C24" t="s">
        <v>114</v>
      </c>
      <c r="D24" s="11" t="s">
        <v>23</v>
      </c>
      <c r="E24" s="1">
        <v>4</v>
      </c>
      <c r="F24">
        <v>3</v>
      </c>
      <c r="G24">
        <v>32</v>
      </c>
      <c r="H24">
        <v>16</v>
      </c>
      <c r="I24">
        <v>8</v>
      </c>
      <c r="J24" t="s">
        <v>2</v>
      </c>
    </row>
    <row r="25" spans="1:13" outlineLevel="2" x14ac:dyDescent="0.4">
      <c r="A25" s="15"/>
      <c r="B25" s="15"/>
      <c r="C25" t="s">
        <v>115</v>
      </c>
      <c r="D25" s="11" t="s">
        <v>116</v>
      </c>
      <c r="E25" s="1">
        <v>4</v>
      </c>
      <c r="F25">
        <v>2</v>
      </c>
      <c r="G25">
        <v>26</v>
      </c>
      <c r="H25">
        <v>6</v>
      </c>
      <c r="J25" t="s">
        <v>2</v>
      </c>
    </row>
    <row r="26" spans="1:13" outlineLevel="2" x14ac:dyDescent="0.4">
      <c r="A26" s="15"/>
      <c r="B26" s="15"/>
      <c r="C26" t="s">
        <v>117</v>
      </c>
      <c r="D26" t="s">
        <v>29</v>
      </c>
      <c r="E26" s="1">
        <v>4</v>
      </c>
      <c r="F26">
        <v>2</v>
      </c>
      <c r="G26">
        <v>32</v>
      </c>
    </row>
    <row r="27" spans="1:13" outlineLevel="2" x14ac:dyDescent="0.4">
      <c r="A27" s="15"/>
      <c r="B27" s="15"/>
      <c r="C27" t="s">
        <v>118</v>
      </c>
      <c r="D27" t="s">
        <v>165</v>
      </c>
      <c r="E27" s="1">
        <v>6</v>
      </c>
      <c r="F27">
        <v>3</v>
      </c>
      <c r="G27">
        <v>48</v>
      </c>
      <c r="J27" t="s">
        <v>102</v>
      </c>
    </row>
    <row r="28" spans="1:13" outlineLevel="2" x14ac:dyDescent="0.4">
      <c r="A28" s="15"/>
      <c r="B28" s="15"/>
      <c r="C28" t="s">
        <v>119</v>
      </c>
      <c r="D28" t="s">
        <v>166</v>
      </c>
      <c r="E28" s="1">
        <v>6</v>
      </c>
      <c r="F28">
        <v>2</v>
      </c>
      <c r="G28">
        <v>28</v>
      </c>
      <c r="H28">
        <v>4</v>
      </c>
      <c r="J28" t="s">
        <v>23</v>
      </c>
    </row>
    <row r="29" spans="1:13" outlineLevel="2" x14ac:dyDescent="0.4">
      <c r="A29" s="15"/>
      <c r="B29" s="15"/>
      <c r="C29" t="s">
        <v>120</v>
      </c>
      <c r="D29" t="s">
        <v>172</v>
      </c>
      <c r="E29" s="1">
        <v>6</v>
      </c>
      <c r="F29">
        <v>2</v>
      </c>
      <c r="G29">
        <v>26</v>
      </c>
      <c r="H29">
        <v>6</v>
      </c>
      <c r="J29" t="s">
        <v>2</v>
      </c>
    </row>
    <row r="30" spans="1:13" outlineLevel="1" x14ac:dyDescent="0.4">
      <c r="A30" s="15"/>
      <c r="B30" s="3" t="s">
        <v>151</v>
      </c>
      <c r="E30" s="1"/>
      <c r="F30">
        <f>SUBTOTAL(9,F23:F29)</f>
        <v>18</v>
      </c>
    </row>
    <row r="31" spans="1:13" outlineLevel="2" x14ac:dyDescent="0.4">
      <c r="A31" s="15"/>
      <c r="B31" s="14" t="s">
        <v>156</v>
      </c>
      <c r="C31" t="s">
        <v>0</v>
      </c>
      <c r="D31" s="11" t="s">
        <v>1</v>
      </c>
      <c r="E31" s="1">
        <v>4</v>
      </c>
      <c r="F31">
        <v>3</v>
      </c>
      <c r="G31">
        <v>48</v>
      </c>
      <c r="J31" t="s">
        <v>2</v>
      </c>
      <c r="M31">
        <v>3</v>
      </c>
    </row>
    <row r="32" spans="1:13" outlineLevel="2" x14ac:dyDescent="0.4">
      <c r="A32" s="15"/>
      <c r="B32" s="15"/>
      <c r="C32" t="s">
        <v>3</v>
      </c>
      <c r="D32" s="13" t="s">
        <v>4</v>
      </c>
      <c r="E32" s="1">
        <v>4</v>
      </c>
      <c r="F32">
        <v>2</v>
      </c>
      <c r="G32">
        <v>28</v>
      </c>
      <c r="H32">
        <v>4</v>
      </c>
      <c r="J32" t="s">
        <v>2</v>
      </c>
      <c r="M32">
        <v>1</v>
      </c>
    </row>
    <row r="33" spans="1:13" outlineLevel="2" x14ac:dyDescent="0.4">
      <c r="A33" s="15"/>
      <c r="B33" s="15"/>
      <c r="C33" t="s">
        <v>5</v>
      </c>
      <c r="D33" s="18" t="s">
        <v>6</v>
      </c>
      <c r="E33" s="1">
        <v>4</v>
      </c>
      <c r="F33">
        <v>3</v>
      </c>
      <c r="G33">
        <v>24</v>
      </c>
      <c r="H33">
        <v>24</v>
      </c>
      <c r="J33" t="s">
        <v>7</v>
      </c>
      <c r="M33">
        <v>2</v>
      </c>
    </row>
    <row r="34" spans="1:13" s="17" customFormat="1" outlineLevel="2" x14ac:dyDescent="0.4">
      <c r="A34" s="15"/>
      <c r="B34" s="15"/>
      <c r="C34" s="17" t="s">
        <v>8</v>
      </c>
      <c r="D34" s="19" t="s">
        <v>175</v>
      </c>
      <c r="E34" s="20">
        <v>5</v>
      </c>
      <c r="F34" s="17">
        <v>2</v>
      </c>
      <c r="G34" s="17">
        <v>32</v>
      </c>
      <c r="J34" s="17" t="s">
        <v>9</v>
      </c>
      <c r="M34" s="17">
        <v>5</v>
      </c>
    </row>
    <row r="35" spans="1:13" s="17" customFormat="1" outlineLevel="2" x14ac:dyDescent="0.4">
      <c r="A35" s="15"/>
      <c r="B35" s="15"/>
      <c r="C35" s="17" t="s">
        <v>10</v>
      </c>
      <c r="D35" s="19" t="s">
        <v>11</v>
      </c>
      <c r="E35" s="20">
        <v>5</v>
      </c>
      <c r="F35" s="17">
        <v>3</v>
      </c>
      <c r="G35" s="17">
        <v>36</v>
      </c>
      <c r="H35" s="17">
        <v>12</v>
      </c>
      <c r="M35" s="17">
        <v>4</v>
      </c>
    </row>
    <row r="36" spans="1:13" outlineLevel="2" x14ac:dyDescent="0.4">
      <c r="A36" s="15"/>
      <c r="B36" s="15"/>
      <c r="C36" t="s">
        <v>12</v>
      </c>
      <c r="D36" s="18" t="s">
        <v>13</v>
      </c>
      <c r="E36" s="1">
        <v>5</v>
      </c>
      <c r="F36">
        <v>2</v>
      </c>
      <c r="G36">
        <v>28</v>
      </c>
      <c r="H36">
        <v>4</v>
      </c>
      <c r="M36">
        <v>3</v>
      </c>
    </row>
    <row r="37" spans="1:13" s="21" customFormat="1" outlineLevel="2" x14ac:dyDescent="0.4">
      <c r="A37" s="15"/>
      <c r="B37" s="15"/>
      <c r="C37" s="21" t="s">
        <v>14</v>
      </c>
      <c r="D37" s="22" t="s">
        <v>176</v>
      </c>
      <c r="E37" s="23">
        <v>5</v>
      </c>
      <c r="F37" s="21">
        <v>3</v>
      </c>
      <c r="G37" s="21">
        <v>24</v>
      </c>
      <c r="H37" s="21">
        <v>24</v>
      </c>
      <c r="J37" s="21" t="s">
        <v>15</v>
      </c>
      <c r="M37" s="21">
        <v>3</v>
      </c>
    </row>
    <row r="38" spans="1:13" outlineLevel="2" x14ac:dyDescent="0.4">
      <c r="A38" s="15"/>
      <c r="B38" s="15"/>
      <c r="C38" t="s">
        <v>16</v>
      </c>
      <c r="D38" s="18" t="s">
        <v>174</v>
      </c>
      <c r="E38" s="1">
        <v>5</v>
      </c>
      <c r="F38">
        <v>2</v>
      </c>
      <c r="G38">
        <v>28</v>
      </c>
      <c r="H38">
        <v>4</v>
      </c>
      <c r="M38">
        <v>2</v>
      </c>
    </row>
    <row r="39" spans="1:13" outlineLevel="2" x14ac:dyDescent="0.4">
      <c r="A39" s="15"/>
      <c r="B39" s="15"/>
      <c r="C39" t="s">
        <v>17</v>
      </c>
      <c r="D39" s="18" t="s">
        <v>18</v>
      </c>
      <c r="E39" s="1">
        <v>5</v>
      </c>
      <c r="F39">
        <v>2</v>
      </c>
      <c r="G39">
        <v>32</v>
      </c>
      <c r="M39">
        <v>3</v>
      </c>
    </row>
    <row r="40" spans="1:13" outlineLevel="2" x14ac:dyDescent="0.4">
      <c r="A40" s="15"/>
      <c r="B40" s="15"/>
      <c r="C40" t="s">
        <v>19</v>
      </c>
      <c r="D40" s="18" t="s">
        <v>20</v>
      </c>
      <c r="E40" s="1">
        <v>5</v>
      </c>
      <c r="F40">
        <v>2</v>
      </c>
      <c r="G40">
        <v>32</v>
      </c>
      <c r="J40" t="s">
        <v>11</v>
      </c>
      <c r="M40">
        <v>3</v>
      </c>
    </row>
    <row r="41" spans="1:13" s="21" customFormat="1" outlineLevel="2" x14ac:dyDescent="0.4">
      <c r="A41" s="15"/>
      <c r="B41" s="15"/>
      <c r="C41" s="21" t="s">
        <v>21</v>
      </c>
      <c r="D41" s="22" t="s">
        <v>22</v>
      </c>
      <c r="E41" s="23">
        <v>5</v>
      </c>
      <c r="F41" s="21">
        <v>2</v>
      </c>
      <c r="H41" s="21">
        <v>32</v>
      </c>
      <c r="I41" s="21">
        <v>16</v>
      </c>
      <c r="J41" s="21" t="s">
        <v>23</v>
      </c>
      <c r="M41" s="21">
        <v>3</v>
      </c>
    </row>
    <row r="42" spans="1:13" outlineLevel="2" x14ac:dyDescent="0.4">
      <c r="A42" s="15"/>
      <c r="B42" s="15"/>
      <c r="C42" t="s">
        <v>24</v>
      </c>
      <c r="D42" s="18" t="s">
        <v>25</v>
      </c>
      <c r="E42" s="1">
        <v>6</v>
      </c>
      <c r="F42">
        <v>2</v>
      </c>
      <c r="G42">
        <v>32</v>
      </c>
      <c r="J42" t="s">
        <v>2</v>
      </c>
      <c r="M42">
        <v>2</v>
      </c>
    </row>
    <row r="43" spans="1:13" outlineLevel="2" x14ac:dyDescent="0.4">
      <c r="A43" s="15"/>
      <c r="B43" s="15"/>
      <c r="C43" t="s">
        <v>26</v>
      </c>
      <c r="D43" s="18" t="s">
        <v>27</v>
      </c>
      <c r="E43" s="1">
        <v>5</v>
      </c>
      <c r="F43">
        <v>2</v>
      </c>
      <c r="J43" t="s">
        <v>1</v>
      </c>
      <c r="M43">
        <v>3</v>
      </c>
    </row>
    <row r="44" spans="1:13" s="17" customFormat="1" ht="13.25" customHeight="1" outlineLevel="2" x14ac:dyDescent="0.4">
      <c r="A44" s="15"/>
      <c r="B44" s="15"/>
      <c r="C44" s="17" t="s">
        <v>28</v>
      </c>
      <c r="D44" s="19" t="s">
        <v>167</v>
      </c>
      <c r="E44" s="20">
        <v>6</v>
      </c>
      <c r="F44" s="17">
        <v>2</v>
      </c>
      <c r="G44" s="17">
        <v>16</v>
      </c>
      <c r="H44" s="17">
        <v>16</v>
      </c>
      <c r="J44" s="17" t="s">
        <v>29</v>
      </c>
      <c r="M44" s="17">
        <v>5</v>
      </c>
    </row>
    <row r="45" spans="1:13" s="17" customFormat="1" outlineLevel="2" x14ac:dyDescent="0.4">
      <c r="A45" s="15"/>
      <c r="B45" s="15"/>
      <c r="C45" s="17" t="s">
        <v>30</v>
      </c>
      <c r="D45" s="19" t="s">
        <v>31</v>
      </c>
      <c r="E45" s="20" t="s">
        <v>144</v>
      </c>
      <c r="F45" s="17">
        <v>3</v>
      </c>
      <c r="G45" s="17">
        <v>32</v>
      </c>
      <c r="J45" s="17" t="s">
        <v>7</v>
      </c>
      <c r="M45" s="17">
        <v>4</v>
      </c>
    </row>
    <row r="46" spans="1:13" outlineLevel="2" x14ac:dyDescent="0.4">
      <c r="A46" s="15"/>
      <c r="B46" s="15"/>
      <c r="C46" t="s">
        <v>32</v>
      </c>
      <c r="D46" s="18" t="s">
        <v>168</v>
      </c>
      <c r="E46" s="1">
        <v>6</v>
      </c>
      <c r="F46">
        <v>2</v>
      </c>
      <c r="G46">
        <v>32</v>
      </c>
      <c r="J46" t="s">
        <v>33</v>
      </c>
      <c r="M46">
        <v>3</v>
      </c>
    </row>
    <row r="47" spans="1:13" outlineLevel="2" x14ac:dyDescent="0.4">
      <c r="A47" s="15"/>
      <c r="B47" s="15"/>
      <c r="C47" t="s">
        <v>34</v>
      </c>
      <c r="D47" s="18" t="s">
        <v>169</v>
      </c>
      <c r="E47" s="1">
        <v>6</v>
      </c>
      <c r="F47">
        <v>2</v>
      </c>
      <c r="G47">
        <v>32</v>
      </c>
      <c r="J47" t="s">
        <v>23</v>
      </c>
      <c r="M47">
        <v>3</v>
      </c>
    </row>
    <row r="48" spans="1:13" outlineLevel="2" x14ac:dyDescent="0.4">
      <c r="A48" s="15"/>
      <c r="B48" s="15"/>
      <c r="C48" t="s">
        <v>35</v>
      </c>
      <c r="D48" s="18" t="s">
        <v>170</v>
      </c>
      <c r="E48" s="1">
        <v>6</v>
      </c>
      <c r="F48">
        <v>2</v>
      </c>
      <c r="G48">
        <v>28</v>
      </c>
      <c r="H48">
        <v>4</v>
      </c>
      <c r="J48" t="s">
        <v>2</v>
      </c>
      <c r="M48">
        <v>3</v>
      </c>
    </row>
    <row r="49" spans="1:13" s="17" customFormat="1" outlineLevel="2" x14ac:dyDescent="0.4">
      <c r="A49" s="15"/>
      <c r="B49" s="15"/>
      <c r="C49" s="17" t="s">
        <v>36</v>
      </c>
      <c r="D49" s="19" t="s">
        <v>171</v>
      </c>
      <c r="E49" s="20">
        <v>6</v>
      </c>
      <c r="F49" s="17">
        <v>2</v>
      </c>
      <c r="H49" s="17">
        <v>32</v>
      </c>
      <c r="J49" s="17" t="s">
        <v>33</v>
      </c>
      <c r="M49" s="17">
        <v>4</v>
      </c>
    </row>
    <row r="50" spans="1:13" s="17" customFormat="1" outlineLevel="2" x14ac:dyDescent="0.4">
      <c r="A50" s="15"/>
      <c r="B50" s="15"/>
      <c r="C50" s="17" t="s">
        <v>37</v>
      </c>
      <c r="D50" s="19" t="s">
        <v>38</v>
      </c>
      <c r="E50" s="20">
        <v>6</v>
      </c>
      <c r="F50" s="17">
        <v>2</v>
      </c>
      <c r="H50" s="17">
        <v>32</v>
      </c>
      <c r="J50" s="17" t="s">
        <v>23</v>
      </c>
      <c r="M50" s="17">
        <v>4</v>
      </c>
    </row>
    <row r="51" spans="1:13" s="17" customFormat="1" outlineLevel="2" x14ac:dyDescent="0.4">
      <c r="A51" s="15"/>
      <c r="B51" s="15"/>
      <c r="C51" s="17" t="s">
        <v>39</v>
      </c>
      <c r="D51" s="19" t="s">
        <v>40</v>
      </c>
      <c r="E51" s="20">
        <v>6</v>
      </c>
      <c r="F51" s="17">
        <v>2</v>
      </c>
      <c r="G51" s="17">
        <v>32</v>
      </c>
      <c r="J51" s="17" t="s">
        <v>2</v>
      </c>
      <c r="M51" s="17">
        <v>5</v>
      </c>
    </row>
    <row r="52" spans="1:13" outlineLevel="2" x14ac:dyDescent="0.4">
      <c r="A52" s="15"/>
      <c r="B52" s="15"/>
      <c r="C52" t="s">
        <v>41</v>
      </c>
      <c r="D52" s="18" t="s">
        <v>42</v>
      </c>
      <c r="E52" s="1">
        <v>6</v>
      </c>
      <c r="F52">
        <v>3</v>
      </c>
      <c r="G52">
        <v>48</v>
      </c>
      <c r="M52">
        <v>3</v>
      </c>
    </row>
    <row r="53" spans="1:13" outlineLevel="1" x14ac:dyDescent="0.4">
      <c r="A53" s="2"/>
      <c r="B53" s="3" t="s">
        <v>152</v>
      </c>
      <c r="E53" s="1"/>
      <c r="F53">
        <f>SUBTOTAL(9,F31:F52)</f>
        <v>50</v>
      </c>
    </row>
    <row r="54" spans="1:13" x14ac:dyDescent="0.4">
      <c r="A54" s="2"/>
      <c r="B54" s="3" t="s">
        <v>147</v>
      </c>
      <c r="E54" s="1"/>
      <c r="F54">
        <f>SUBTOTAL(9,F23:F52)</f>
        <v>68</v>
      </c>
    </row>
    <row r="56" spans="1:13" x14ac:dyDescent="0.4">
      <c r="B56" s="3" t="s">
        <v>198</v>
      </c>
      <c r="F56">
        <f>SUMIF(M23:M52,"&gt;=1",F23:F52)</f>
        <v>50</v>
      </c>
    </row>
    <row r="57" spans="1:13" x14ac:dyDescent="0.4">
      <c r="B57" s="3" t="s">
        <v>218</v>
      </c>
      <c r="F57">
        <f>SUMIF(M23:M52,"&gt;=4",F23:F52)</f>
        <v>16</v>
      </c>
    </row>
  </sheetData>
  <autoFilter ref="A22:L54" xr:uid="{BEDE3320-822C-47A9-8C83-1D6D1646BA21}"/>
  <mergeCells count="6">
    <mergeCell ref="B2:B10"/>
    <mergeCell ref="B23:B29"/>
    <mergeCell ref="B31:B52"/>
    <mergeCell ref="A23:A52"/>
    <mergeCell ref="B12:B18"/>
    <mergeCell ref="A2:A18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7D15-6CD2-4A77-BD67-EB0A9FA69B6A}">
  <dimension ref="A1:K10"/>
  <sheetViews>
    <sheetView zoomScaleNormal="100" workbookViewId="0">
      <selection activeCell="A2" sqref="A2:A6"/>
    </sheetView>
  </sheetViews>
  <sheetFormatPr defaultRowHeight="13.9" outlineLevelRow="2" x14ac:dyDescent="0.4"/>
  <cols>
    <col min="3" max="3" width="16.1328125" bestFit="1" customWidth="1"/>
  </cols>
  <sheetData>
    <row r="1" spans="1:11" x14ac:dyDescent="0.4">
      <c r="A1" s="5" t="s">
        <v>150</v>
      </c>
      <c r="B1" s="5" t="s">
        <v>43</v>
      </c>
      <c r="C1" s="5" t="s">
        <v>44</v>
      </c>
      <c r="D1" s="6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153</v>
      </c>
      <c r="K1" s="5" t="s">
        <v>200</v>
      </c>
    </row>
    <row r="2" spans="1:11" outlineLevel="2" x14ac:dyDescent="0.4">
      <c r="A2" s="14" t="s">
        <v>162</v>
      </c>
      <c r="B2" t="s">
        <v>121</v>
      </c>
      <c r="C2" s="8" t="s">
        <v>122</v>
      </c>
      <c r="D2" s="1">
        <v>1</v>
      </c>
      <c r="E2">
        <v>2</v>
      </c>
      <c r="F2">
        <v>16</v>
      </c>
      <c r="G2">
        <v>16</v>
      </c>
      <c r="J2">
        <v>1</v>
      </c>
      <c r="K2">
        <v>97</v>
      </c>
    </row>
    <row r="3" spans="1:11" outlineLevel="2" x14ac:dyDescent="0.4">
      <c r="A3" s="15"/>
      <c r="B3" t="s">
        <v>123</v>
      </c>
      <c r="C3" s="8" t="s">
        <v>124</v>
      </c>
      <c r="D3" s="1">
        <v>1</v>
      </c>
      <c r="E3">
        <v>1</v>
      </c>
      <c r="F3">
        <v>32</v>
      </c>
      <c r="J3">
        <v>1</v>
      </c>
      <c r="K3">
        <v>85</v>
      </c>
    </row>
    <row r="4" spans="1:11" outlineLevel="2" x14ac:dyDescent="0.4">
      <c r="A4" s="15"/>
      <c r="B4" t="s">
        <v>125</v>
      </c>
      <c r="C4" s="8" t="s">
        <v>126</v>
      </c>
      <c r="D4" s="1">
        <v>2</v>
      </c>
      <c r="E4">
        <v>1</v>
      </c>
      <c r="F4">
        <v>32</v>
      </c>
      <c r="I4" t="s">
        <v>124</v>
      </c>
      <c r="J4">
        <v>2</v>
      </c>
      <c r="K4">
        <v>85</v>
      </c>
    </row>
    <row r="5" spans="1:11" outlineLevel="2" x14ac:dyDescent="0.4">
      <c r="A5" s="15"/>
      <c r="B5" t="s">
        <v>127</v>
      </c>
      <c r="C5" s="8" t="s">
        <v>128</v>
      </c>
      <c r="D5" s="1">
        <v>3</v>
      </c>
      <c r="E5">
        <v>1</v>
      </c>
      <c r="F5">
        <v>32</v>
      </c>
      <c r="J5">
        <v>3</v>
      </c>
      <c r="K5">
        <v>73.7</v>
      </c>
    </row>
    <row r="6" spans="1:11" outlineLevel="2" x14ac:dyDescent="0.4">
      <c r="A6" s="15"/>
      <c r="B6" t="s">
        <v>129</v>
      </c>
      <c r="C6" t="s">
        <v>130</v>
      </c>
      <c r="D6" s="1">
        <v>4</v>
      </c>
      <c r="E6">
        <v>1</v>
      </c>
      <c r="F6">
        <v>32</v>
      </c>
      <c r="I6" t="s">
        <v>128</v>
      </c>
    </row>
    <row r="7" spans="1:11" outlineLevel="1" x14ac:dyDescent="0.4">
      <c r="A7" s="3" t="s">
        <v>151</v>
      </c>
      <c r="D7" s="1"/>
      <c r="E7">
        <f>SUBTOTAL(9,E2:E6)</f>
        <v>6</v>
      </c>
    </row>
    <row r="8" spans="1:11" ht="27.75" outlineLevel="2" x14ac:dyDescent="0.4">
      <c r="A8" s="4" t="s">
        <v>163</v>
      </c>
      <c r="B8" t="s">
        <v>131</v>
      </c>
      <c r="D8" s="1"/>
      <c r="E8">
        <v>6</v>
      </c>
      <c r="H8">
        <v>96</v>
      </c>
    </row>
    <row r="9" spans="1:11" outlineLevel="1" x14ac:dyDescent="0.4">
      <c r="A9" s="3" t="s">
        <v>152</v>
      </c>
      <c r="D9" s="1"/>
      <c r="E9">
        <f>SUBTOTAL(9,E8:E8)</f>
        <v>6</v>
      </c>
    </row>
    <row r="10" spans="1:11" x14ac:dyDescent="0.4">
      <c r="A10" s="3" t="s">
        <v>147</v>
      </c>
      <c r="D10" s="1"/>
      <c r="E10">
        <f>SUBTOTAL(9,E2:E8)</f>
        <v>12</v>
      </c>
    </row>
  </sheetData>
  <mergeCells count="1">
    <mergeCell ref="A2:A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1264-60FB-4FA6-98BC-A06CD20AC2D7}">
  <dimension ref="A1:K9"/>
  <sheetViews>
    <sheetView workbookViewId="0">
      <selection activeCell="A2" sqref="A2:A7"/>
    </sheetView>
  </sheetViews>
  <sheetFormatPr defaultRowHeight="13.9" outlineLevelRow="2" x14ac:dyDescent="0.4"/>
  <cols>
    <col min="3" max="3" width="20.46484375" bestFit="1" customWidth="1"/>
  </cols>
  <sheetData>
    <row r="1" spans="1:11" x14ac:dyDescent="0.4">
      <c r="A1" s="5" t="s">
        <v>150</v>
      </c>
      <c r="B1" s="5" t="s">
        <v>43</v>
      </c>
      <c r="C1" s="5" t="s">
        <v>44</v>
      </c>
      <c r="D1" s="6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199</v>
      </c>
      <c r="K1" s="5" t="s">
        <v>200</v>
      </c>
    </row>
    <row r="2" spans="1:11" outlineLevel="2" x14ac:dyDescent="0.4">
      <c r="A2" s="14" t="s">
        <v>164</v>
      </c>
      <c r="B2" t="s">
        <v>132</v>
      </c>
      <c r="C2" t="s">
        <v>133</v>
      </c>
      <c r="D2" s="1">
        <v>4</v>
      </c>
      <c r="E2">
        <v>2</v>
      </c>
      <c r="F2">
        <v>8</v>
      </c>
      <c r="H2">
        <v>24</v>
      </c>
    </row>
    <row r="3" spans="1:11" outlineLevel="2" x14ac:dyDescent="0.4">
      <c r="A3" s="15"/>
      <c r="B3" t="s">
        <v>134</v>
      </c>
      <c r="C3" t="s">
        <v>135</v>
      </c>
      <c r="D3" s="1">
        <v>3</v>
      </c>
      <c r="E3">
        <v>2</v>
      </c>
      <c r="H3">
        <v>32</v>
      </c>
    </row>
    <row r="4" spans="1:11" outlineLevel="2" x14ac:dyDescent="0.4">
      <c r="A4" s="15"/>
      <c r="B4" t="s">
        <v>136</v>
      </c>
      <c r="C4" s="8" t="s">
        <v>137</v>
      </c>
      <c r="D4" s="1">
        <v>1</v>
      </c>
      <c r="E4">
        <v>2</v>
      </c>
      <c r="H4">
        <v>144</v>
      </c>
      <c r="I4">
        <v>1</v>
      </c>
      <c r="J4">
        <v>1</v>
      </c>
      <c r="K4">
        <v>95</v>
      </c>
    </row>
    <row r="5" spans="1:11" outlineLevel="2" x14ac:dyDescent="0.4">
      <c r="A5" s="15"/>
      <c r="B5" t="s">
        <v>138</v>
      </c>
      <c r="C5" t="s">
        <v>139</v>
      </c>
      <c r="D5" s="1">
        <v>6</v>
      </c>
      <c r="E5">
        <v>2</v>
      </c>
      <c r="H5">
        <v>32</v>
      </c>
    </row>
    <row r="6" spans="1:11" outlineLevel="2" x14ac:dyDescent="0.4">
      <c r="A6" s="15"/>
      <c r="B6" t="s">
        <v>140</v>
      </c>
      <c r="C6" t="s">
        <v>141</v>
      </c>
      <c r="D6" s="1" t="s">
        <v>145</v>
      </c>
      <c r="E6">
        <v>4</v>
      </c>
      <c r="H6">
        <v>64</v>
      </c>
    </row>
    <row r="7" spans="1:11" outlineLevel="2" x14ac:dyDescent="0.4">
      <c r="A7" s="15"/>
      <c r="B7" t="s">
        <v>142</v>
      </c>
      <c r="C7" t="s">
        <v>143</v>
      </c>
      <c r="D7" s="1">
        <v>8</v>
      </c>
      <c r="E7">
        <v>4</v>
      </c>
      <c r="H7">
        <v>64</v>
      </c>
      <c r="I7" t="s">
        <v>139</v>
      </c>
    </row>
    <row r="8" spans="1:11" outlineLevel="1" x14ac:dyDescent="0.4">
      <c r="A8" s="3" t="s">
        <v>151</v>
      </c>
      <c r="D8" s="1"/>
      <c r="E8">
        <f>SUBTOTAL(9,E2:E7)</f>
        <v>16</v>
      </c>
    </row>
    <row r="9" spans="1:11" x14ac:dyDescent="0.4">
      <c r="A9" s="3" t="s">
        <v>147</v>
      </c>
      <c r="D9" s="1"/>
      <c r="E9">
        <f>SUBTOTAL(9,E2:E7)</f>
        <v>16</v>
      </c>
    </row>
  </sheetData>
  <mergeCells count="1">
    <mergeCell ref="A2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通识教育48</vt:lpstr>
      <vt:lpstr>大类46+专业38</vt:lpstr>
      <vt:lpstr>素质教育12</vt:lpstr>
      <vt:lpstr>实践教育16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YU</dc:creator>
  <cp:lastModifiedBy>V YU</cp:lastModifiedBy>
  <dcterms:created xsi:type="dcterms:W3CDTF">2025-12-25T05:20:22Z</dcterms:created>
  <dcterms:modified xsi:type="dcterms:W3CDTF">2026-05-25T07:26:43Z</dcterms:modified>
</cp:coreProperties>
</file>